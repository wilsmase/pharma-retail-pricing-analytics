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m\OneDrive\Documents\"/>
    </mc:Choice>
  </mc:AlternateContent>
  <xr:revisionPtr revIDLastSave="0" documentId="13_ncr:1_{267D0EF3-2E41-4E69-9057-5409AB44EDBB}" xr6:coauthVersionLast="47" xr6:coauthVersionMax="47" xr10:uidLastSave="{00000000-0000-0000-0000-000000000000}"/>
  <bookViews>
    <workbookView xWindow="-120" yWindow="-120" windowWidth="29040" windowHeight="15720" xr2:uid="{F23D0D69-57D6-4837-8F55-8822EEED506F}"/>
  </bookViews>
  <sheets>
    <sheet name="Raw Data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8" i="2" l="1"/>
  <c r="K55" i="2"/>
  <c r="K77" i="2"/>
  <c r="K82" i="2"/>
  <c r="K3" i="2"/>
  <c r="K4" i="2"/>
  <c r="K5" i="2"/>
  <c r="K7" i="2"/>
  <c r="K8" i="2"/>
  <c r="K9" i="2"/>
  <c r="K10" i="2"/>
  <c r="K17" i="2"/>
  <c r="K19" i="2"/>
  <c r="K20" i="2"/>
  <c r="K21" i="2"/>
  <c r="K22" i="2"/>
  <c r="K23" i="2"/>
  <c r="K24" i="2"/>
  <c r="K25" i="2"/>
  <c r="K26" i="2"/>
  <c r="K29" i="2"/>
  <c r="K31" i="2"/>
  <c r="K32" i="2"/>
  <c r="K33" i="2"/>
  <c r="K34" i="2"/>
  <c r="K43" i="2"/>
  <c r="K44" i="2"/>
  <c r="K45" i="2"/>
  <c r="K46" i="2"/>
  <c r="K47" i="2"/>
  <c r="K51" i="2"/>
  <c r="K52" i="2"/>
  <c r="K53" i="2"/>
  <c r="K54" i="2"/>
  <c r="K56" i="2"/>
  <c r="K57" i="2"/>
  <c r="K58" i="2"/>
  <c r="K59" i="2"/>
  <c r="K60" i="2"/>
  <c r="K61" i="2"/>
  <c r="K62" i="2"/>
  <c r="K66" i="2"/>
  <c r="K68" i="2"/>
  <c r="K69" i="2"/>
  <c r="K70" i="2"/>
  <c r="K75" i="2"/>
  <c r="K76" i="2"/>
  <c r="K79" i="2"/>
  <c r="K80" i="2"/>
  <c r="K81" i="2"/>
  <c r="K86" i="2"/>
  <c r="K78" i="2"/>
</calcChain>
</file>

<file path=xl/sharedStrings.xml><?xml version="1.0" encoding="utf-8"?>
<sst xmlns="http://schemas.openxmlformats.org/spreadsheetml/2006/main" count="418" uniqueCount="98">
  <si>
    <t>Generic Name</t>
  </si>
  <si>
    <t>Brand Name</t>
  </si>
  <si>
    <t>Retailer</t>
  </si>
  <si>
    <t>Count</t>
  </si>
  <si>
    <t>Availability</t>
  </si>
  <si>
    <t>Search Type</t>
  </si>
  <si>
    <t>Price/Count($)</t>
  </si>
  <si>
    <t>Price($)</t>
  </si>
  <si>
    <t>CVS Pharmacy</t>
  </si>
  <si>
    <t>Walmart</t>
  </si>
  <si>
    <t>Product Name</t>
  </si>
  <si>
    <t>Costco Wholesale</t>
  </si>
  <si>
    <t>Lecithin</t>
  </si>
  <si>
    <t>Coenzyme Q10</t>
  </si>
  <si>
    <t>Ubiquinol</t>
  </si>
  <si>
    <t>Aminomine</t>
  </si>
  <si>
    <t>Tryptophan</t>
  </si>
  <si>
    <t>Alpha-Lipoic-Acid-300</t>
  </si>
  <si>
    <t>Alpha-Lipoic Acid</t>
  </si>
  <si>
    <t>Advil</t>
  </si>
  <si>
    <t>Astepro</t>
  </si>
  <si>
    <t>Azelastine</t>
  </si>
  <si>
    <t>Claritin</t>
  </si>
  <si>
    <t>Generic</t>
  </si>
  <si>
    <t>Brand</t>
  </si>
  <si>
    <t>Raw Data Sheet</t>
  </si>
  <si>
    <t>Claritin Allergy Relief 24 Hour</t>
  </si>
  <si>
    <t>Equate Gluten-Free Loratodine</t>
  </si>
  <si>
    <t xml:space="preserve">HealthA2Z® Allergy Relief </t>
  </si>
  <si>
    <t>Curist Allergy Relief Loratidine</t>
  </si>
  <si>
    <t>Loratadine</t>
  </si>
  <si>
    <t>N/A</t>
  </si>
  <si>
    <t>NO</t>
  </si>
  <si>
    <t>YES</t>
  </si>
  <si>
    <t>Claritin 24HR Relief RediTabs</t>
  </si>
  <si>
    <t>CVS 24HR Allergy Relief Loratadine</t>
  </si>
  <si>
    <t>CVS 24HR Non Drowsy Loratadine Softgels</t>
  </si>
  <si>
    <t>CVS 24HR Non Drowsy Allergy Relief Loratadine Tablets</t>
  </si>
  <si>
    <t>Advil Pain Reliever and Fever Reducer Liqui-Gel Minis</t>
  </si>
  <si>
    <t>CVS Ibuprofen Pain Reliever &amp; Fever Reducer (NSAID)</t>
  </si>
  <si>
    <t>Motrin IB Ibuprofen</t>
  </si>
  <si>
    <t>CVS Ibuprofen Migraine</t>
  </si>
  <si>
    <t>Advil Ibuprofen Pain Reliever/Fever Reducer</t>
  </si>
  <si>
    <t>Kirkland Signature Ibuprofen (2 Pack)</t>
  </si>
  <si>
    <t xml:space="preserve">Kirkland Signature Mini Ibuprofen Liquid Gel Capsules </t>
  </si>
  <si>
    <t>Advil Pain Relief and Fever Reducer Coated Tablets</t>
  </si>
  <si>
    <t>Equate Ibuprofen Tablets for Pain</t>
  </si>
  <si>
    <t>Motrin IB, Fast-Acting Ibuprofen</t>
  </si>
  <si>
    <t>Equate Ibuprofen Mini Liquid Filled Softgel Capsules</t>
  </si>
  <si>
    <t>Now L-Tryptophan</t>
  </si>
  <si>
    <t>AMINOMINE</t>
  </si>
  <si>
    <t>Best Naturals L-Tryptophan</t>
  </si>
  <si>
    <t>Nutricost L-Tryptophan</t>
  </si>
  <si>
    <t>BulkSupplements L-Tryptophan</t>
  </si>
  <si>
    <t>Nature's Lab CoQ10</t>
  </si>
  <si>
    <t>Qunol Plus CoQ10 Ubiquinol</t>
  </si>
  <si>
    <t>Qunol Mega CoQ10 Ubiquinol</t>
  </si>
  <si>
    <t>Kirland Signature CoQ10</t>
  </si>
  <si>
    <t>Spring Valley Rapid-Release CoQ10</t>
  </si>
  <si>
    <t>Qunol Mega Ubiquinol CoQ10 Softgels</t>
  </si>
  <si>
    <t>NOW Supplements Ubiquinol</t>
  </si>
  <si>
    <t>Life Extension Super Ubiquinol CoQ10 with enhanced Mitochondrial Support</t>
  </si>
  <si>
    <t>Codeage Nanofood Wonder Heart Liquid CoQ10</t>
  </si>
  <si>
    <t>10 mL</t>
  </si>
  <si>
    <t>Strength</t>
  </si>
  <si>
    <t>Qunol CoQ10 Ubiquinol Superior Absorption</t>
  </si>
  <si>
    <t>100 mg</t>
  </si>
  <si>
    <t>Best Naturals Alpha Lipoic Acid</t>
  </si>
  <si>
    <t>Spring Valley Alpha Lipoic Acid</t>
  </si>
  <si>
    <t>Nutricost Alpha Lipoic Acid</t>
  </si>
  <si>
    <t>Brieofood Alpha Lipoic Acid</t>
  </si>
  <si>
    <t>Nature's Lab CoQ10 + Alpha-Lipoic Acid + Acetyl L-Carnitine</t>
  </si>
  <si>
    <t>200 mg</t>
  </si>
  <si>
    <t>Astepro 24HR Steriod Free Allergy Relief Spray</t>
  </si>
  <si>
    <t>Astepro Allergy Relief Azelastine Nasal Spray</t>
  </si>
  <si>
    <t>Astepro Allergy Medicine, Steroid Free Azelastine Nasal Spray</t>
  </si>
  <si>
    <t>(3 pack) Astepro Allergy Relief Azelastine Nasal Spray</t>
  </si>
  <si>
    <t>Astepro Allergy Relief Adult Azelastine</t>
  </si>
  <si>
    <t>205.5 mcg</t>
  </si>
  <si>
    <t>300 mg</t>
  </si>
  <si>
    <t>600 mg</t>
  </si>
  <si>
    <t>10 mg</t>
  </si>
  <si>
    <t>Azelastine HCI (Rx Only)</t>
  </si>
  <si>
    <t>0.05% (6 mL)</t>
  </si>
  <si>
    <t>Azelastine-Luticasone (Rx Only)</t>
  </si>
  <si>
    <t>137 mcg/50 mcg per actuation</t>
  </si>
  <si>
    <t>Kirkland Signature AllerClear Loratadine Tablets</t>
  </si>
  <si>
    <t>Lecithin-Softgels</t>
  </si>
  <si>
    <t>Mommy's Bliss Lactation Support Milk Thistle &amp; Lecithin</t>
  </si>
  <si>
    <t>390 mg</t>
  </si>
  <si>
    <t>Irwin Natruals Testosterone Up plus BioPerine Softgels  (contains soy Lecithin)</t>
  </si>
  <si>
    <t>Irwin Naturals Steel-Libido plus BioPerine Softgels for Women (contains soy Lecithin)</t>
  </si>
  <si>
    <t>Mason Natural Lecithin Softgels</t>
  </si>
  <si>
    <t>1200 mg</t>
  </si>
  <si>
    <t>NOW Supplements Lecithin</t>
  </si>
  <si>
    <t>Legendairy Milk Sunflower Lecithin Softgels for Adults</t>
  </si>
  <si>
    <t>Ultra Soy Lecithin</t>
  </si>
  <si>
    <t>Ibuprofen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</si>
</sst>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1A1A19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Fill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1E98-C2BB-4A4B-9AED-0903D46166F7}">
  <dimension ref="A1:L86"/>
  <sheetViews>
    <sheetView tabSelected="1" zoomScale="70" zoomScaleNormal="70" workbookViewId="0">
      <selection activeCell="R94" sqref="R94"/>
    </sheetView>
  </sheetViews>
  <sheetFormatPr defaultRowHeight="15" x14ac:dyDescent="0.25"/>
  <cols>
    <col min="1" max="1" width="10.85546875" customWidth="1"/>
    <col min="2" max="2" width="14.7109375" customWidth="1"/>
    <col min="4" max="4" width="16" customWidth="1"/>
    <col min="5" max="5" width="19.140625" customWidth="1"/>
    <col min="6" max="6" width="90.5703125" customWidth="1"/>
    <col min="7" max="7" width="13.85546875" customWidth="1"/>
    <col min="8" max="8" width="11.42578125" customWidth="1"/>
    <col min="9" max="9" width="10.28515625" customWidth="1"/>
    <col min="10" max="10" width="38.140625" customWidth="1"/>
    <col min="11" max="11" width="16.28515625" customWidth="1"/>
    <col min="12" max="12" width="13" style="1" customWidth="1"/>
  </cols>
  <sheetData>
    <row r="1" spans="1:12" ht="15.75" x14ac:dyDescent="0.25">
      <c r="A1" s="22" t="s">
        <v>25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</row>
    <row r="2" spans="1:12" ht="15.75" x14ac:dyDescent="0.25">
      <c r="A2" s="25" t="s">
        <v>1</v>
      </c>
      <c r="B2" s="21"/>
      <c r="C2" s="20" t="s">
        <v>0</v>
      </c>
      <c r="D2" s="21"/>
      <c r="E2" s="15" t="s">
        <v>2</v>
      </c>
      <c r="F2" s="15" t="s">
        <v>10</v>
      </c>
      <c r="G2" s="15" t="s">
        <v>5</v>
      </c>
      <c r="H2" s="15" t="s">
        <v>7</v>
      </c>
      <c r="I2" s="15" t="s">
        <v>3</v>
      </c>
      <c r="J2" s="15" t="s">
        <v>64</v>
      </c>
      <c r="K2" s="15" t="s">
        <v>6</v>
      </c>
      <c r="L2" s="26" t="s">
        <v>4</v>
      </c>
    </row>
    <row r="3" spans="1:12" ht="15.75" x14ac:dyDescent="0.25">
      <c r="A3" s="27" t="s">
        <v>87</v>
      </c>
      <c r="B3" s="7"/>
      <c r="C3" s="4" t="s">
        <v>12</v>
      </c>
      <c r="D3" s="7"/>
      <c r="E3" s="13" t="s">
        <v>8</v>
      </c>
      <c r="F3" s="28" t="s">
        <v>91</v>
      </c>
      <c r="G3" s="13" t="s">
        <v>23</v>
      </c>
      <c r="H3" s="16">
        <v>25.49</v>
      </c>
      <c r="I3" s="16">
        <v>75</v>
      </c>
      <c r="J3" s="16" t="s">
        <v>31</v>
      </c>
      <c r="K3" s="14">
        <f t="shared" ref="K3:K66" si="0">ROUND(H3/I3,2)</f>
        <v>0.34</v>
      </c>
      <c r="L3" s="29" t="s">
        <v>33</v>
      </c>
    </row>
    <row r="4" spans="1:12" ht="15.75" x14ac:dyDescent="0.25">
      <c r="A4" s="2"/>
      <c r="B4" s="8"/>
      <c r="C4" s="5"/>
      <c r="D4" s="8"/>
      <c r="E4" s="11"/>
      <c r="F4" s="14" t="s">
        <v>90</v>
      </c>
      <c r="G4" s="11"/>
      <c r="H4" s="14">
        <v>34.79</v>
      </c>
      <c r="I4" s="14">
        <v>60</v>
      </c>
      <c r="J4" s="14" t="s">
        <v>31</v>
      </c>
      <c r="K4" s="14">
        <f t="shared" si="0"/>
        <v>0.57999999999999996</v>
      </c>
      <c r="L4" s="30" t="s">
        <v>33</v>
      </c>
    </row>
    <row r="5" spans="1:12" ht="15.75" x14ac:dyDescent="0.25">
      <c r="A5" s="2"/>
      <c r="B5" s="8"/>
      <c r="C5" s="5"/>
      <c r="D5" s="8"/>
      <c r="E5" s="11"/>
      <c r="F5" s="15" t="s">
        <v>88</v>
      </c>
      <c r="G5" s="12"/>
      <c r="H5" s="15">
        <v>19.989999999999998</v>
      </c>
      <c r="I5" s="15">
        <v>60</v>
      </c>
      <c r="J5" s="15" t="s">
        <v>89</v>
      </c>
      <c r="K5" s="15">
        <f t="shared" si="0"/>
        <v>0.33</v>
      </c>
      <c r="L5" s="31" t="s">
        <v>33</v>
      </c>
    </row>
    <row r="6" spans="1:12" ht="15.75" x14ac:dyDescent="0.25">
      <c r="A6" s="2"/>
      <c r="B6" s="8"/>
      <c r="C6" s="5"/>
      <c r="D6" s="8"/>
      <c r="E6" s="12"/>
      <c r="F6" s="15" t="s">
        <v>31</v>
      </c>
      <c r="G6" s="17" t="s">
        <v>24</v>
      </c>
      <c r="H6" s="15" t="s">
        <v>31</v>
      </c>
      <c r="I6" s="15" t="s">
        <v>31</v>
      </c>
      <c r="J6" s="15" t="s">
        <v>31</v>
      </c>
      <c r="K6" s="10" t="s">
        <v>31</v>
      </c>
      <c r="L6" s="31" t="s">
        <v>32</v>
      </c>
    </row>
    <row r="7" spans="1:12" ht="15.75" x14ac:dyDescent="0.25">
      <c r="A7" s="2"/>
      <c r="B7" s="8"/>
      <c r="C7" s="5"/>
      <c r="D7" s="8"/>
      <c r="E7" s="13" t="s">
        <v>9</v>
      </c>
      <c r="F7" s="16" t="s">
        <v>96</v>
      </c>
      <c r="G7" s="13" t="s">
        <v>23</v>
      </c>
      <c r="H7" s="16">
        <v>16.23</v>
      </c>
      <c r="I7" s="16">
        <v>120</v>
      </c>
      <c r="J7" s="16" t="s">
        <v>93</v>
      </c>
      <c r="K7" s="14">
        <f t="shared" si="0"/>
        <v>0.14000000000000001</v>
      </c>
      <c r="L7" s="29" t="s">
        <v>33</v>
      </c>
    </row>
    <row r="8" spans="1:12" ht="15.75" x14ac:dyDescent="0.25">
      <c r="A8" s="2"/>
      <c r="B8" s="8"/>
      <c r="C8" s="5"/>
      <c r="D8" s="8"/>
      <c r="E8" s="11"/>
      <c r="F8" s="14" t="s">
        <v>95</v>
      </c>
      <c r="G8" s="11"/>
      <c r="H8" s="14">
        <v>13.48</v>
      </c>
      <c r="I8" s="14">
        <v>60</v>
      </c>
      <c r="J8" s="14" t="s">
        <v>93</v>
      </c>
      <c r="K8" s="14">
        <f t="shared" si="0"/>
        <v>0.22</v>
      </c>
      <c r="L8" s="30" t="s">
        <v>33</v>
      </c>
    </row>
    <row r="9" spans="1:12" ht="15.75" x14ac:dyDescent="0.25">
      <c r="A9" s="2"/>
      <c r="B9" s="8"/>
      <c r="C9" s="5"/>
      <c r="D9" s="8"/>
      <c r="E9" s="11"/>
      <c r="F9" s="15" t="s">
        <v>94</v>
      </c>
      <c r="G9" s="12"/>
      <c r="H9" s="15">
        <v>11.99</v>
      </c>
      <c r="I9" s="15">
        <v>100</v>
      </c>
      <c r="J9" s="15" t="s">
        <v>93</v>
      </c>
      <c r="K9" s="15">
        <f t="shared" si="0"/>
        <v>0.12</v>
      </c>
      <c r="L9" s="31" t="s">
        <v>33</v>
      </c>
    </row>
    <row r="10" spans="1:12" ht="15.75" x14ac:dyDescent="0.25">
      <c r="A10" s="2"/>
      <c r="B10" s="8"/>
      <c r="C10" s="5"/>
      <c r="D10" s="8"/>
      <c r="E10" s="12"/>
      <c r="F10" s="15" t="s">
        <v>92</v>
      </c>
      <c r="G10" s="17" t="s">
        <v>24</v>
      </c>
      <c r="H10" s="15">
        <v>8.2899999999999991</v>
      </c>
      <c r="I10" s="15">
        <v>100</v>
      </c>
      <c r="J10" s="15" t="s">
        <v>93</v>
      </c>
      <c r="K10" s="15">
        <f t="shared" si="0"/>
        <v>0.08</v>
      </c>
      <c r="L10" s="31" t="s">
        <v>33</v>
      </c>
    </row>
    <row r="11" spans="1:12" ht="15.75" x14ac:dyDescent="0.25">
      <c r="A11" s="2"/>
      <c r="B11" s="8"/>
      <c r="C11" s="5"/>
      <c r="D11" s="8"/>
      <c r="E11" s="13" t="s">
        <v>11</v>
      </c>
      <c r="F11" s="16" t="s">
        <v>31</v>
      </c>
      <c r="G11" s="13" t="s">
        <v>23</v>
      </c>
      <c r="H11" s="16" t="s">
        <v>31</v>
      </c>
      <c r="I11" s="16" t="s">
        <v>31</v>
      </c>
      <c r="J11" s="16" t="s">
        <v>31</v>
      </c>
      <c r="K11" s="14" t="s">
        <v>31</v>
      </c>
      <c r="L11" s="29" t="s">
        <v>32</v>
      </c>
    </row>
    <row r="12" spans="1:12" ht="15.75" x14ac:dyDescent="0.25">
      <c r="A12" s="2"/>
      <c r="B12" s="8"/>
      <c r="C12" s="5"/>
      <c r="D12" s="8"/>
      <c r="E12" s="11"/>
      <c r="F12" s="14" t="s">
        <v>31</v>
      </c>
      <c r="G12" s="11"/>
      <c r="H12" s="14" t="s">
        <v>31</v>
      </c>
      <c r="I12" s="14" t="s">
        <v>31</v>
      </c>
      <c r="J12" s="14" t="s">
        <v>31</v>
      </c>
      <c r="K12" s="14" t="s">
        <v>31</v>
      </c>
      <c r="L12" s="30" t="s">
        <v>32</v>
      </c>
    </row>
    <row r="13" spans="1:12" ht="15.75" x14ac:dyDescent="0.25">
      <c r="A13" s="2"/>
      <c r="B13" s="8"/>
      <c r="C13" s="5"/>
      <c r="D13" s="8"/>
      <c r="E13" s="11"/>
      <c r="F13" s="15" t="s">
        <v>31</v>
      </c>
      <c r="G13" s="12"/>
      <c r="H13" s="15" t="s">
        <v>31</v>
      </c>
      <c r="I13" s="15" t="s">
        <v>31</v>
      </c>
      <c r="J13" s="15" t="s">
        <v>31</v>
      </c>
      <c r="K13" s="14" t="s">
        <v>31</v>
      </c>
      <c r="L13" s="31" t="s">
        <v>32</v>
      </c>
    </row>
    <row r="14" spans="1:12" ht="15.75" x14ac:dyDescent="0.25">
      <c r="A14" s="32"/>
      <c r="B14" s="9"/>
      <c r="C14" s="6"/>
      <c r="D14" s="9"/>
      <c r="E14" s="12"/>
      <c r="F14" s="15" t="s">
        <v>31</v>
      </c>
      <c r="G14" s="17" t="s">
        <v>24</v>
      </c>
      <c r="H14" s="15" t="s">
        <v>31</v>
      </c>
      <c r="I14" s="15" t="s">
        <v>31</v>
      </c>
      <c r="J14" s="15" t="s">
        <v>31</v>
      </c>
      <c r="K14" s="10" t="s">
        <v>31</v>
      </c>
      <c r="L14" s="31" t="s">
        <v>32</v>
      </c>
    </row>
    <row r="15" spans="1:12" ht="15.75" x14ac:dyDescent="0.25">
      <c r="A15" s="27" t="s">
        <v>13</v>
      </c>
      <c r="B15" s="7"/>
      <c r="C15" s="4" t="s">
        <v>14</v>
      </c>
      <c r="D15" s="7"/>
      <c r="E15" s="13" t="s">
        <v>8</v>
      </c>
      <c r="F15" s="16" t="s">
        <v>31</v>
      </c>
      <c r="G15" s="13" t="s">
        <v>23</v>
      </c>
      <c r="H15" s="16" t="s">
        <v>31</v>
      </c>
      <c r="I15" s="16" t="s">
        <v>31</v>
      </c>
      <c r="J15" s="16" t="s">
        <v>31</v>
      </c>
      <c r="K15" s="14" t="s">
        <v>31</v>
      </c>
      <c r="L15" s="29" t="s">
        <v>32</v>
      </c>
    </row>
    <row r="16" spans="1:12" ht="15.75" x14ac:dyDescent="0.25">
      <c r="A16" s="2"/>
      <c r="B16" s="8"/>
      <c r="C16" s="5"/>
      <c r="D16" s="8"/>
      <c r="E16" s="11"/>
      <c r="F16" s="14" t="s">
        <v>31</v>
      </c>
      <c r="G16" s="11"/>
      <c r="H16" s="14" t="s">
        <v>31</v>
      </c>
      <c r="I16" s="14" t="s">
        <v>31</v>
      </c>
      <c r="J16" s="14" t="s">
        <v>31</v>
      </c>
      <c r="K16" s="14" t="s">
        <v>31</v>
      </c>
      <c r="L16" s="30" t="s">
        <v>32</v>
      </c>
    </row>
    <row r="17" spans="1:12" ht="15.75" x14ac:dyDescent="0.25">
      <c r="A17" s="2"/>
      <c r="B17" s="8"/>
      <c r="C17" s="5"/>
      <c r="D17" s="8"/>
      <c r="E17" s="11"/>
      <c r="F17" s="15" t="s">
        <v>65</v>
      </c>
      <c r="G17" s="12"/>
      <c r="H17" s="15">
        <v>49.99</v>
      </c>
      <c r="I17" s="15">
        <v>60</v>
      </c>
      <c r="J17" s="15" t="s">
        <v>66</v>
      </c>
      <c r="K17" s="14">
        <f t="shared" si="0"/>
        <v>0.83</v>
      </c>
      <c r="L17" s="31" t="s">
        <v>33</v>
      </c>
    </row>
    <row r="18" spans="1:12" ht="15.75" x14ac:dyDescent="0.25">
      <c r="A18" s="2"/>
      <c r="B18" s="8"/>
      <c r="C18" s="5"/>
      <c r="D18" s="8"/>
      <c r="E18" s="12"/>
      <c r="F18" s="15" t="s">
        <v>62</v>
      </c>
      <c r="G18" s="17" t="s">
        <v>24</v>
      </c>
      <c r="H18" s="15">
        <v>39.99</v>
      </c>
      <c r="I18" s="15">
        <v>30</v>
      </c>
      <c r="J18" s="15" t="s">
        <v>63</v>
      </c>
      <c r="K18" s="10">
        <f t="shared" si="0"/>
        <v>1.33</v>
      </c>
      <c r="L18" s="31" t="s">
        <v>33</v>
      </c>
    </row>
    <row r="19" spans="1:12" ht="15.75" x14ac:dyDescent="0.25">
      <c r="A19" s="2"/>
      <c r="B19" s="8"/>
      <c r="C19" s="5"/>
      <c r="D19" s="8"/>
      <c r="E19" s="13" t="s">
        <v>9</v>
      </c>
      <c r="F19" s="16" t="s">
        <v>61</v>
      </c>
      <c r="G19" s="13" t="s">
        <v>23</v>
      </c>
      <c r="H19" s="16">
        <v>14.25</v>
      </c>
      <c r="I19" s="16">
        <v>30</v>
      </c>
      <c r="J19" s="16">
        <v>50</v>
      </c>
      <c r="K19" s="14">
        <f t="shared" si="0"/>
        <v>0.48</v>
      </c>
      <c r="L19" s="29" t="s">
        <v>33</v>
      </c>
    </row>
    <row r="20" spans="1:12" ht="15.75" x14ac:dyDescent="0.25">
      <c r="A20" s="2"/>
      <c r="B20" s="8"/>
      <c r="C20" s="5"/>
      <c r="D20" s="8"/>
      <c r="E20" s="11"/>
      <c r="F20" s="14" t="s">
        <v>60</v>
      </c>
      <c r="G20" s="11"/>
      <c r="H20" s="14">
        <v>32.99</v>
      </c>
      <c r="I20" s="14">
        <v>60</v>
      </c>
      <c r="J20" s="14">
        <v>100</v>
      </c>
      <c r="K20" s="14">
        <f t="shared" si="0"/>
        <v>0.55000000000000004</v>
      </c>
      <c r="L20" s="30" t="s">
        <v>33</v>
      </c>
    </row>
    <row r="21" spans="1:12" ht="15.75" x14ac:dyDescent="0.25">
      <c r="A21" s="2"/>
      <c r="B21" s="8"/>
      <c r="C21" s="5"/>
      <c r="D21" s="8"/>
      <c r="E21" s="11"/>
      <c r="F21" s="15" t="s">
        <v>59</v>
      </c>
      <c r="G21" s="12"/>
      <c r="H21" s="15">
        <v>21.88</v>
      </c>
      <c r="I21" s="15">
        <v>60</v>
      </c>
      <c r="J21" s="15">
        <v>100</v>
      </c>
      <c r="K21" s="14">
        <f t="shared" si="0"/>
        <v>0.36</v>
      </c>
      <c r="L21" s="31" t="s">
        <v>33</v>
      </c>
    </row>
    <row r="22" spans="1:12" ht="15.75" x14ac:dyDescent="0.25">
      <c r="A22" s="2"/>
      <c r="B22" s="8"/>
      <c r="C22" s="5"/>
      <c r="D22" s="8"/>
      <c r="E22" s="12"/>
      <c r="F22" s="15" t="s">
        <v>58</v>
      </c>
      <c r="G22" s="17" t="s">
        <v>24</v>
      </c>
      <c r="H22" s="15">
        <v>9.8800000000000008</v>
      </c>
      <c r="I22" s="15">
        <v>60</v>
      </c>
      <c r="J22" s="15">
        <v>100</v>
      </c>
      <c r="K22" s="10">
        <f t="shared" si="0"/>
        <v>0.16</v>
      </c>
      <c r="L22" s="31" t="s">
        <v>33</v>
      </c>
    </row>
    <row r="23" spans="1:12" ht="15.75" x14ac:dyDescent="0.25">
      <c r="A23" s="2"/>
      <c r="B23" s="8"/>
      <c r="C23" s="5"/>
      <c r="D23" s="8"/>
      <c r="E23" s="13" t="s">
        <v>11</v>
      </c>
      <c r="F23" s="16" t="s">
        <v>57</v>
      </c>
      <c r="G23" s="13" t="s">
        <v>23</v>
      </c>
      <c r="H23" s="16">
        <v>22.99</v>
      </c>
      <c r="I23" s="16">
        <v>100</v>
      </c>
      <c r="J23" s="16">
        <v>300</v>
      </c>
      <c r="K23" s="14">
        <f t="shared" si="0"/>
        <v>0.23</v>
      </c>
      <c r="L23" s="29" t="s">
        <v>33</v>
      </c>
    </row>
    <row r="24" spans="1:12" ht="15.75" x14ac:dyDescent="0.25">
      <c r="A24" s="2"/>
      <c r="B24" s="8"/>
      <c r="C24" s="5"/>
      <c r="D24" s="8"/>
      <c r="E24" s="11"/>
      <c r="F24" s="14" t="s">
        <v>56</v>
      </c>
      <c r="G24" s="11"/>
      <c r="H24" s="14">
        <v>30.99</v>
      </c>
      <c r="I24" s="14">
        <v>120</v>
      </c>
      <c r="J24" s="14">
        <v>100</v>
      </c>
      <c r="K24" s="14">
        <f t="shared" si="0"/>
        <v>0.26</v>
      </c>
      <c r="L24" s="30" t="s">
        <v>33</v>
      </c>
    </row>
    <row r="25" spans="1:12" ht="15.75" x14ac:dyDescent="0.25">
      <c r="A25" s="2"/>
      <c r="B25" s="8"/>
      <c r="C25" s="5"/>
      <c r="D25" s="8"/>
      <c r="E25" s="11"/>
      <c r="F25" s="15" t="s">
        <v>55</v>
      </c>
      <c r="G25" s="12"/>
      <c r="H25" s="15">
        <v>30.99</v>
      </c>
      <c r="I25" s="15">
        <v>90</v>
      </c>
      <c r="J25" s="15">
        <v>200</v>
      </c>
      <c r="K25" s="14">
        <f t="shared" si="0"/>
        <v>0.34</v>
      </c>
      <c r="L25" s="31" t="s">
        <v>33</v>
      </c>
    </row>
    <row r="26" spans="1:12" ht="15.75" x14ac:dyDescent="0.25">
      <c r="A26" s="32"/>
      <c r="B26" s="9"/>
      <c r="C26" s="6"/>
      <c r="D26" s="9"/>
      <c r="E26" s="12"/>
      <c r="F26" s="15" t="s">
        <v>54</v>
      </c>
      <c r="G26" s="17" t="s">
        <v>24</v>
      </c>
      <c r="H26" s="15">
        <v>28.99</v>
      </c>
      <c r="I26" s="15">
        <v>120</v>
      </c>
      <c r="J26" s="15">
        <v>200</v>
      </c>
      <c r="K26" s="10">
        <f t="shared" si="0"/>
        <v>0.24</v>
      </c>
      <c r="L26" s="31" t="s">
        <v>33</v>
      </c>
    </row>
    <row r="27" spans="1:12" ht="15.75" x14ac:dyDescent="0.25">
      <c r="A27" s="27" t="s">
        <v>15</v>
      </c>
      <c r="B27" s="7"/>
      <c r="C27" s="4" t="s">
        <v>16</v>
      </c>
      <c r="D27" s="7"/>
      <c r="E27" s="13" t="s">
        <v>8</v>
      </c>
      <c r="F27" s="16" t="s">
        <v>31</v>
      </c>
      <c r="G27" s="13" t="s">
        <v>23</v>
      </c>
      <c r="H27" s="16" t="s">
        <v>31</v>
      </c>
      <c r="I27" s="16" t="s">
        <v>31</v>
      </c>
      <c r="J27" s="16" t="s">
        <v>31</v>
      </c>
      <c r="K27" s="14" t="s">
        <v>31</v>
      </c>
      <c r="L27" s="29" t="s">
        <v>32</v>
      </c>
    </row>
    <row r="28" spans="1:12" ht="15.75" x14ac:dyDescent="0.25">
      <c r="A28" s="2"/>
      <c r="B28" s="8"/>
      <c r="C28" s="5"/>
      <c r="D28" s="8"/>
      <c r="E28" s="11"/>
      <c r="F28" s="14" t="s">
        <v>31</v>
      </c>
      <c r="G28" s="11"/>
      <c r="H28" s="14" t="s">
        <v>31</v>
      </c>
      <c r="I28" s="14" t="s">
        <v>31</v>
      </c>
      <c r="J28" s="14" t="s">
        <v>31</v>
      </c>
      <c r="K28" s="14" t="s">
        <v>31</v>
      </c>
      <c r="L28" s="30" t="s">
        <v>32</v>
      </c>
    </row>
    <row r="29" spans="1:12" ht="15.75" x14ac:dyDescent="0.25">
      <c r="A29" s="2"/>
      <c r="B29" s="8"/>
      <c r="C29" s="5"/>
      <c r="D29" s="8"/>
      <c r="E29" s="11"/>
      <c r="F29" s="15" t="s">
        <v>49</v>
      </c>
      <c r="G29" s="12"/>
      <c r="H29" s="15">
        <v>20.99</v>
      </c>
      <c r="I29" s="15">
        <v>60</v>
      </c>
      <c r="J29" s="15">
        <v>500</v>
      </c>
      <c r="K29" s="14">
        <f t="shared" si="0"/>
        <v>0.35</v>
      </c>
      <c r="L29" s="31" t="s">
        <v>33</v>
      </c>
    </row>
    <row r="30" spans="1:12" ht="15.75" x14ac:dyDescent="0.25">
      <c r="A30" s="2"/>
      <c r="B30" s="8"/>
      <c r="C30" s="5"/>
      <c r="D30" s="8"/>
      <c r="E30" s="12"/>
      <c r="F30" s="10" t="s">
        <v>31</v>
      </c>
      <c r="G30" s="18" t="s">
        <v>24</v>
      </c>
      <c r="H30" s="10" t="s">
        <v>31</v>
      </c>
      <c r="I30" s="10" t="s">
        <v>31</v>
      </c>
      <c r="J30" s="10" t="s">
        <v>31</v>
      </c>
      <c r="K30" s="10" t="s">
        <v>31</v>
      </c>
      <c r="L30" s="33" t="s">
        <v>32</v>
      </c>
    </row>
    <row r="31" spans="1:12" ht="15.75" x14ac:dyDescent="0.25">
      <c r="A31" s="2"/>
      <c r="B31" s="8"/>
      <c r="C31" s="5"/>
      <c r="D31" s="8"/>
      <c r="E31" s="13" t="s">
        <v>9</v>
      </c>
      <c r="F31" s="14" t="s">
        <v>53</v>
      </c>
      <c r="G31" s="13" t="s">
        <v>23</v>
      </c>
      <c r="H31" s="14">
        <v>18.97</v>
      </c>
      <c r="I31" s="14">
        <v>240</v>
      </c>
      <c r="J31" s="14">
        <v>500</v>
      </c>
      <c r="K31" s="14">
        <f t="shared" si="0"/>
        <v>0.08</v>
      </c>
      <c r="L31" s="30" t="s">
        <v>33</v>
      </c>
    </row>
    <row r="32" spans="1:12" ht="15.75" x14ac:dyDescent="0.25">
      <c r="A32" s="2"/>
      <c r="B32" s="8"/>
      <c r="C32" s="5"/>
      <c r="D32" s="8"/>
      <c r="E32" s="11"/>
      <c r="F32" s="14" t="s">
        <v>52</v>
      </c>
      <c r="G32" s="11"/>
      <c r="H32" s="14">
        <v>15.95</v>
      </c>
      <c r="I32" s="14">
        <v>120</v>
      </c>
      <c r="J32" s="14">
        <v>500</v>
      </c>
      <c r="K32" s="14">
        <f t="shared" si="0"/>
        <v>0.13</v>
      </c>
      <c r="L32" s="30" t="s">
        <v>33</v>
      </c>
    </row>
    <row r="33" spans="1:12" ht="15.75" x14ac:dyDescent="0.25">
      <c r="A33" s="2"/>
      <c r="B33" s="8"/>
      <c r="C33" s="5"/>
      <c r="D33" s="8"/>
      <c r="E33" s="11"/>
      <c r="F33" s="15" t="s">
        <v>51</v>
      </c>
      <c r="G33" s="12"/>
      <c r="H33" s="15">
        <v>9.99</v>
      </c>
      <c r="I33" s="15">
        <v>60</v>
      </c>
      <c r="J33" s="15">
        <v>1000</v>
      </c>
      <c r="K33" s="14">
        <f t="shared" si="0"/>
        <v>0.17</v>
      </c>
      <c r="L33" s="31" t="s">
        <v>33</v>
      </c>
    </row>
    <row r="34" spans="1:12" ht="15.75" x14ac:dyDescent="0.25">
      <c r="A34" s="2"/>
      <c r="B34" s="8"/>
      <c r="C34" s="5"/>
      <c r="D34" s="8"/>
      <c r="E34" s="12"/>
      <c r="F34" s="10" t="s">
        <v>50</v>
      </c>
      <c r="G34" s="18" t="s">
        <v>24</v>
      </c>
      <c r="H34" s="10">
        <v>45.01</v>
      </c>
      <c r="I34" s="10">
        <v>100</v>
      </c>
      <c r="J34" s="10">
        <v>700</v>
      </c>
      <c r="K34" s="10">
        <f t="shared" si="0"/>
        <v>0.45</v>
      </c>
      <c r="L34" s="33" t="s">
        <v>33</v>
      </c>
    </row>
    <row r="35" spans="1:12" ht="15.75" x14ac:dyDescent="0.25">
      <c r="A35" s="2"/>
      <c r="B35" s="8"/>
      <c r="C35" s="5"/>
      <c r="D35" s="8"/>
      <c r="E35" s="13" t="s">
        <v>11</v>
      </c>
      <c r="F35" s="14" t="s">
        <v>31</v>
      </c>
      <c r="G35" s="13" t="s">
        <v>23</v>
      </c>
      <c r="H35" s="14" t="s">
        <v>31</v>
      </c>
      <c r="I35" s="14" t="s">
        <v>31</v>
      </c>
      <c r="J35" s="14" t="s">
        <v>31</v>
      </c>
      <c r="K35" s="14" t="s">
        <v>31</v>
      </c>
      <c r="L35" s="30" t="s">
        <v>32</v>
      </c>
    </row>
    <row r="36" spans="1:12" ht="15.75" x14ac:dyDescent="0.25">
      <c r="A36" s="2"/>
      <c r="B36" s="8"/>
      <c r="C36" s="5"/>
      <c r="D36" s="8"/>
      <c r="E36" s="11"/>
      <c r="F36" s="14" t="s">
        <v>31</v>
      </c>
      <c r="G36" s="11"/>
      <c r="H36" s="14" t="s">
        <v>31</v>
      </c>
      <c r="I36" s="14" t="s">
        <v>31</v>
      </c>
      <c r="J36" s="14" t="s">
        <v>31</v>
      </c>
      <c r="K36" s="14" t="s">
        <v>31</v>
      </c>
      <c r="L36" s="30" t="s">
        <v>32</v>
      </c>
    </row>
    <row r="37" spans="1:12" ht="15.75" x14ac:dyDescent="0.25">
      <c r="A37" s="2"/>
      <c r="B37" s="8"/>
      <c r="C37" s="5"/>
      <c r="D37" s="8"/>
      <c r="E37" s="11"/>
      <c r="F37" s="15" t="s">
        <v>31</v>
      </c>
      <c r="G37" s="12"/>
      <c r="H37" s="15" t="s">
        <v>31</v>
      </c>
      <c r="I37" s="15" t="s">
        <v>31</v>
      </c>
      <c r="J37" s="15" t="s">
        <v>31</v>
      </c>
      <c r="K37" s="14" t="s">
        <v>31</v>
      </c>
      <c r="L37" s="31" t="s">
        <v>32</v>
      </c>
    </row>
    <row r="38" spans="1:12" ht="15.75" x14ac:dyDescent="0.25">
      <c r="A38" s="32"/>
      <c r="B38" s="9"/>
      <c r="C38" s="6"/>
      <c r="D38" s="9"/>
      <c r="E38" s="12"/>
      <c r="F38" s="15" t="s">
        <v>31</v>
      </c>
      <c r="G38" s="17" t="s">
        <v>24</v>
      </c>
      <c r="H38" s="15" t="s">
        <v>31</v>
      </c>
      <c r="I38" s="15" t="s">
        <v>31</v>
      </c>
      <c r="J38" s="15" t="s">
        <v>31</v>
      </c>
      <c r="K38" s="10" t="s">
        <v>31</v>
      </c>
      <c r="L38" s="31" t="s">
        <v>32</v>
      </c>
    </row>
    <row r="39" spans="1:12" ht="15.75" x14ac:dyDescent="0.25">
      <c r="A39" s="27" t="s">
        <v>17</v>
      </c>
      <c r="B39" s="7"/>
      <c r="C39" s="4" t="s">
        <v>18</v>
      </c>
      <c r="D39" s="7"/>
      <c r="E39" s="13" t="s">
        <v>8</v>
      </c>
      <c r="F39" s="16" t="s">
        <v>31</v>
      </c>
      <c r="G39" s="13" t="s">
        <v>23</v>
      </c>
      <c r="H39" s="16" t="s">
        <v>31</v>
      </c>
      <c r="I39" s="16" t="s">
        <v>31</v>
      </c>
      <c r="J39" s="16" t="s">
        <v>31</v>
      </c>
      <c r="K39" s="14" t="s">
        <v>31</v>
      </c>
      <c r="L39" s="29" t="s">
        <v>32</v>
      </c>
    </row>
    <row r="40" spans="1:12" ht="15.75" x14ac:dyDescent="0.25">
      <c r="A40" s="2"/>
      <c r="B40" s="8"/>
      <c r="C40" s="5"/>
      <c r="D40" s="8"/>
      <c r="E40" s="11"/>
      <c r="F40" s="14" t="s">
        <v>31</v>
      </c>
      <c r="G40" s="11"/>
      <c r="H40" s="14" t="s">
        <v>31</v>
      </c>
      <c r="I40" s="14" t="s">
        <v>31</v>
      </c>
      <c r="J40" s="14" t="s">
        <v>31</v>
      </c>
      <c r="K40" s="14" t="s">
        <v>31</v>
      </c>
      <c r="L40" s="30" t="s">
        <v>32</v>
      </c>
    </row>
    <row r="41" spans="1:12" ht="15.75" x14ac:dyDescent="0.25">
      <c r="A41" s="2"/>
      <c r="B41" s="8"/>
      <c r="C41" s="5"/>
      <c r="D41" s="8"/>
      <c r="E41" s="11"/>
      <c r="F41" s="15" t="s">
        <v>31</v>
      </c>
      <c r="G41" s="12"/>
      <c r="H41" s="15" t="s">
        <v>31</v>
      </c>
      <c r="I41" s="15" t="s">
        <v>31</v>
      </c>
      <c r="J41" s="15" t="s">
        <v>31</v>
      </c>
      <c r="K41" s="14" t="s">
        <v>31</v>
      </c>
      <c r="L41" s="31" t="s">
        <v>32</v>
      </c>
    </row>
    <row r="42" spans="1:12" ht="15.75" x14ac:dyDescent="0.25">
      <c r="A42" s="2"/>
      <c r="B42" s="8"/>
      <c r="C42" s="5"/>
      <c r="D42" s="8"/>
      <c r="E42" s="12"/>
      <c r="F42" s="15" t="s">
        <v>31</v>
      </c>
      <c r="G42" s="17" t="s">
        <v>24</v>
      </c>
      <c r="H42" s="15" t="s">
        <v>31</v>
      </c>
      <c r="I42" s="15" t="s">
        <v>31</v>
      </c>
      <c r="J42" s="15" t="s">
        <v>31</v>
      </c>
      <c r="K42" s="10" t="s">
        <v>31</v>
      </c>
      <c r="L42" s="31" t="s">
        <v>32</v>
      </c>
    </row>
    <row r="43" spans="1:12" ht="15.75" x14ac:dyDescent="0.25">
      <c r="A43" s="2"/>
      <c r="B43" s="8"/>
      <c r="C43" s="5"/>
      <c r="D43" s="8"/>
      <c r="E43" s="13" t="s">
        <v>9</v>
      </c>
      <c r="F43" s="16" t="s">
        <v>70</v>
      </c>
      <c r="G43" s="13" t="s">
        <v>23</v>
      </c>
      <c r="H43" s="16">
        <v>14.99</v>
      </c>
      <c r="I43" s="16">
        <v>240</v>
      </c>
      <c r="J43" s="16" t="s">
        <v>80</v>
      </c>
      <c r="K43" s="14">
        <f t="shared" si="0"/>
        <v>0.06</v>
      </c>
      <c r="L43" s="29" t="s">
        <v>33</v>
      </c>
    </row>
    <row r="44" spans="1:12" ht="15.75" x14ac:dyDescent="0.25">
      <c r="A44" s="2"/>
      <c r="B44" s="8"/>
      <c r="C44" s="5"/>
      <c r="D44" s="8"/>
      <c r="E44" s="11"/>
      <c r="F44" s="14" t="s">
        <v>69</v>
      </c>
      <c r="G44" s="11"/>
      <c r="H44" s="14">
        <v>24.95</v>
      </c>
      <c r="I44" s="14">
        <v>240</v>
      </c>
      <c r="J44" s="14" t="s">
        <v>80</v>
      </c>
      <c r="K44" s="14">
        <f t="shared" si="0"/>
        <v>0.1</v>
      </c>
      <c r="L44" s="30" t="s">
        <v>33</v>
      </c>
    </row>
    <row r="45" spans="1:12" ht="15.75" x14ac:dyDescent="0.25">
      <c r="A45" s="2"/>
      <c r="B45" s="8"/>
      <c r="C45" s="5"/>
      <c r="D45" s="8"/>
      <c r="E45" s="11"/>
      <c r="F45" s="15" t="s">
        <v>68</v>
      </c>
      <c r="G45" s="12"/>
      <c r="H45" s="15">
        <v>9.8800000000000008</v>
      </c>
      <c r="I45" s="15">
        <v>100</v>
      </c>
      <c r="J45" s="15" t="s">
        <v>72</v>
      </c>
      <c r="K45" s="14">
        <f t="shared" si="0"/>
        <v>0.1</v>
      </c>
      <c r="L45" s="31" t="s">
        <v>33</v>
      </c>
    </row>
    <row r="46" spans="1:12" ht="15.75" x14ac:dyDescent="0.25">
      <c r="A46" s="2"/>
      <c r="B46" s="8"/>
      <c r="C46" s="5"/>
      <c r="D46" s="8"/>
      <c r="E46" s="12"/>
      <c r="F46" s="15" t="s">
        <v>67</v>
      </c>
      <c r="G46" s="17" t="s">
        <v>24</v>
      </c>
      <c r="H46" s="15">
        <v>14.99</v>
      </c>
      <c r="I46" s="15">
        <v>120</v>
      </c>
      <c r="J46" s="15" t="s">
        <v>79</v>
      </c>
      <c r="K46" s="10">
        <f t="shared" si="0"/>
        <v>0.12</v>
      </c>
      <c r="L46" s="31" t="s">
        <v>33</v>
      </c>
    </row>
    <row r="47" spans="1:12" ht="15.75" x14ac:dyDescent="0.25">
      <c r="A47" s="2"/>
      <c r="B47" s="8"/>
      <c r="C47" s="5"/>
      <c r="D47" s="8"/>
      <c r="E47" s="13" t="s">
        <v>11</v>
      </c>
      <c r="F47" s="16" t="s">
        <v>71</v>
      </c>
      <c r="G47" s="13" t="s">
        <v>23</v>
      </c>
      <c r="H47" s="16">
        <v>28.99</v>
      </c>
      <c r="I47" s="16">
        <v>120</v>
      </c>
      <c r="J47" s="16" t="s">
        <v>72</v>
      </c>
      <c r="K47" s="14">
        <f t="shared" si="0"/>
        <v>0.24</v>
      </c>
      <c r="L47" s="29" t="s">
        <v>33</v>
      </c>
    </row>
    <row r="48" spans="1:12" ht="15.75" x14ac:dyDescent="0.25">
      <c r="A48" s="2"/>
      <c r="B48" s="8"/>
      <c r="C48" s="5"/>
      <c r="D48" s="8"/>
      <c r="E48" s="11"/>
      <c r="F48" s="14" t="s">
        <v>31</v>
      </c>
      <c r="G48" s="11"/>
      <c r="H48" s="14" t="s">
        <v>31</v>
      </c>
      <c r="I48" s="14" t="s">
        <v>31</v>
      </c>
      <c r="J48" s="14" t="s">
        <v>31</v>
      </c>
      <c r="K48" s="14" t="s">
        <v>31</v>
      </c>
      <c r="L48" s="30" t="s">
        <v>32</v>
      </c>
    </row>
    <row r="49" spans="1:12" ht="15.75" x14ac:dyDescent="0.25">
      <c r="A49" s="2"/>
      <c r="B49" s="8"/>
      <c r="C49" s="5"/>
      <c r="D49" s="8"/>
      <c r="E49" s="11"/>
      <c r="F49" s="15" t="s">
        <v>31</v>
      </c>
      <c r="G49" s="12"/>
      <c r="H49" s="15" t="s">
        <v>31</v>
      </c>
      <c r="I49" s="15" t="s">
        <v>31</v>
      </c>
      <c r="J49" s="15" t="s">
        <v>31</v>
      </c>
      <c r="K49" s="14" t="s">
        <v>31</v>
      </c>
      <c r="L49" s="31" t="s">
        <v>32</v>
      </c>
    </row>
    <row r="50" spans="1:12" ht="15.75" x14ac:dyDescent="0.25">
      <c r="A50" s="32"/>
      <c r="B50" s="9"/>
      <c r="C50" s="6"/>
      <c r="D50" s="9"/>
      <c r="E50" s="12"/>
      <c r="F50" s="15" t="s">
        <v>31</v>
      </c>
      <c r="G50" s="17" t="s">
        <v>24</v>
      </c>
      <c r="H50" s="15" t="s">
        <v>31</v>
      </c>
      <c r="I50" s="15" t="s">
        <v>31</v>
      </c>
      <c r="J50" s="15" t="s">
        <v>31</v>
      </c>
      <c r="K50" s="10" t="s">
        <v>31</v>
      </c>
      <c r="L50" s="31" t="s">
        <v>32</v>
      </c>
    </row>
    <row r="51" spans="1:12" ht="15.75" x14ac:dyDescent="0.25">
      <c r="A51" s="27" t="s">
        <v>19</v>
      </c>
      <c r="B51" s="7"/>
      <c r="C51" s="4" t="s">
        <v>97</v>
      </c>
      <c r="D51" s="7"/>
      <c r="E51" s="13" t="s">
        <v>8</v>
      </c>
      <c r="F51" s="14" t="s">
        <v>41</v>
      </c>
      <c r="G51" s="13" t="s">
        <v>23</v>
      </c>
      <c r="H51" s="14">
        <v>5.39</v>
      </c>
      <c r="I51" s="14">
        <v>20</v>
      </c>
      <c r="J51" s="14" t="s">
        <v>72</v>
      </c>
      <c r="K51" s="14">
        <f t="shared" si="0"/>
        <v>0.27</v>
      </c>
      <c r="L51" s="30" t="s">
        <v>33</v>
      </c>
    </row>
    <row r="52" spans="1:12" ht="15.75" x14ac:dyDescent="0.25">
      <c r="A52" s="2"/>
      <c r="B52" s="8"/>
      <c r="C52" s="5"/>
      <c r="D52" s="8"/>
      <c r="E52" s="11"/>
      <c r="F52" s="14" t="s">
        <v>40</v>
      </c>
      <c r="G52" s="11"/>
      <c r="H52" s="14">
        <v>5.49</v>
      </c>
      <c r="I52" s="14">
        <v>24</v>
      </c>
      <c r="J52" s="14" t="s">
        <v>72</v>
      </c>
      <c r="K52" s="14">
        <f t="shared" si="0"/>
        <v>0.23</v>
      </c>
      <c r="L52" s="30" t="s">
        <v>33</v>
      </c>
    </row>
    <row r="53" spans="1:12" ht="15.75" x14ac:dyDescent="0.25">
      <c r="A53" s="2"/>
      <c r="B53" s="8"/>
      <c r="C53" s="5"/>
      <c r="D53" s="8"/>
      <c r="E53" s="11"/>
      <c r="F53" s="15" t="s">
        <v>39</v>
      </c>
      <c r="G53" s="12"/>
      <c r="H53" s="15">
        <v>17.190000000000001</v>
      </c>
      <c r="I53" s="15">
        <v>200</v>
      </c>
      <c r="J53" s="15" t="s">
        <v>72</v>
      </c>
      <c r="K53" s="15">
        <f t="shared" si="0"/>
        <v>0.09</v>
      </c>
      <c r="L53" s="31" t="s">
        <v>33</v>
      </c>
    </row>
    <row r="54" spans="1:12" ht="15.75" x14ac:dyDescent="0.25">
      <c r="A54" s="2"/>
      <c r="B54" s="8"/>
      <c r="C54" s="5"/>
      <c r="D54" s="8"/>
      <c r="E54" s="12"/>
      <c r="F54" s="15" t="s">
        <v>38</v>
      </c>
      <c r="G54" s="17" t="s">
        <v>24</v>
      </c>
      <c r="H54" s="15">
        <v>13.49</v>
      </c>
      <c r="I54" s="15">
        <v>80</v>
      </c>
      <c r="J54" s="15" t="s">
        <v>72</v>
      </c>
      <c r="K54" s="15">
        <f t="shared" si="0"/>
        <v>0.17</v>
      </c>
      <c r="L54" s="31" t="s">
        <v>33</v>
      </c>
    </row>
    <row r="55" spans="1:12" ht="15.75" x14ac:dyDescent="0.25">
      <c r="A55" s="2"/>
      <c r="B55" s="8"/>
      <c r="C55" s="5"/>
      <c r="D55" s="8"/>
      <c r="E55" s="13" t="s">
        <v>9</v>
      </c>
      <c r="F55" s="14" t="s">
        <v>47</v>
      </c>
      <c r="G55" s="13" t="s">
        <v>23</v>
      </c>
      <c r="H55" s="14">
        <v>4.22</v>
      </c>
      <c r="I55" s="14">
        <v>24</v>
      </c>
      <c r="J55" s="14" t="s">
        <v>72</v>
      </c>
      <c r="K55" s="14">
        <f t="shared" ref="K55" si="1">ROUND(H55/I55,2)</f>
        <v>0.18</v>
      </c>
      <c r="L55" s="29" t="s">
        <v>33</v>
      </c>
    </row>
    <row r="56" spans="1:12" ht="15.75" x14ac:dyDescent="0.25">
      <c r="A56" s="2"/>
      <c r="B56" s="8"/>
      <c r="C56" s="5"/>
      <c r="D56" s="8"/>
      <c r="E56" s="11"/>
      <c r="F56" s="19" t="s">
        <v>48</v>
      </c>
      <c r="G56" s="11"/>
      <c r="H56" s="14">
        <v>4.9800000000000004</v>
      </c>
      <c r="I56" s="14">
        <v>40</v>
      </c>
      <c r="J56" s="14" t="s">
        <v>72</v>
      </c>
      <c r="K56" s="14">
        <f t="shared" si="0"/>
        <v>0.12</v>
      </c>
      <c r="L56" s="30" t="s">
        <v>33</v>
      </c>
    </row>
    <row r="57" spans="1:12" ht="15.75" x14ac:dyDescent="0.25">
      <c r="A57" s="2"/>
      <c r="B57" s="8"/>
      <c r="C57" s="5"/>
      <c r="D57" s="8"/>
      <c r="E57" s="11"/>
      <c r="F57" s="15" t="s">
        <v>46</v>
      </c>
      <c r="G57" s="12"/>
      <c r="H57" s="15">
        <v>1.98</v>
      </c>
      <c r="I57" s="15">
        <v>100</v>
      </c>
      <c r="J57" s="15" t="s">
        <v>72</v>
      </c>
      <c r="K57" s="15">
        <f t="shared" si="0"/>
        <v>0.02</v>
      </c>
      <c r="L57" s="31" t="s">
        <v>33</v>
      </c>
    </row>
    <row r="58" spans="1:12" ht="15.75" x14ac:dyDescent="0.25">
      <c r="A58" s="2"/>
      <c r="B58" s="8"/>
      <c r="C58" s="5"/>
      <c r="D58" s="8"/>
      <c r="E58" s="12"/>
      <c r="F58" s="15" t="s">
        <v>45</v>
      </c>
      <c r="G58" s="17" t="s">
        <v>24</v>
      </c>
      <c r="H58" s="15">
        <v>10.98</v>
      </c>
      <c r="I58" s="15">
        <v>100</v>
      </c>
      <c r="J58" s="15" t="s">
        <v>72</v>
      </c>
      <c r="K58" s="15">
        <f t="shared" si="0"/>
        <v>0.11</v>
      </c>
      <c r="L58" s="31" t="s">
        <v>33</v>
      </c>
    </row>
    <row r="59" spans="1:12" ht="15.75" x14ac:dyDescent="0.25">
      <c r="A59" s="2"/>
      <c r="B59" s="8"/>
      <c r="C59" s="5"/>
      <c r="D59" s="8"/>
      <c r="E59" s="11" t="s">
        <v>11</v>
      </c>
      <c r="F59" s="16" t="s">
        <v>44</v>
      </c>
      <c r="G59" s="13" t="s">
        <v>23</v>
      </c>
      <c r="H59" s="16">
        <v>17.989999999999998</v>
      </c>
      <c r="I59" s="16">
        <v>500</v>
      </c>
      <c r="J59" s="16" t="s">
        <v>72</v>
      </c>
      <c r="K59" s="16">
        <f t="shared" si="0"/>
        <v>0.04</v>
      </c>
      <c r="L59" s="29" t="s">
        <v>33</v>
      </c>
    </row>
    <row r="60" spans="1:12" ht="15.75" x14ac:dyDescent="0.25">
      <c r="A60" s="2"/>
      <c r="B60" s="8"/>
      <c r="C60" s="5"/>
      <c r="D60" s="8"/>
      <c r="E60" s="11"/>
      <c r="F60" s="14" t="s">
        <v>40</v>
      </c>
      <c r="G60" s="11"/>
      <c r="H60" s="14">
        <v>18.989999999999998</v>
      </c>
      <c r="I60" s="14">
        <v>300</v>
      </c>
      <c r="J60" s="14" t="s">
        <v>72</v>
      </c>
      <c r="K60" s="14">
        <f t="shared" si="0"/>
        <v>0.06</v>
      </c>
      <c r="L60" s="30" t="s">
        <v>33</v>
      </c>
    </row>
    <row r="61" spans="1:12" ht="15.75" x14ac:dyDescent="0.25">
      <c r="A61" s="2"/>
      <c r="B61" s="8"/>
      <c r="C61" s="5"/>
      <c r="D61" s="8"/>
      <c r="E61" s="11"/>
      <c r="F61" s="15" t="s">
        <v>43</v>
      </c>
      <c r="G61" s="12"/>
      <c r="H61" s="15">
        <v>13.99</v>
      </c>
      <c r="I61" s="15">
        <v>1000</v>
      </c>
      <c r="J61" s="15" t="s">
        <v>72</v>
      </c>
      <c r="K61" s="15">
        <f t="shared" si="0"/>
        <v>0.01</v>
      </c>
      <c r="L61" s="31" t="s">
        <v>33</v>
      </c>
    </row>
    <row r="62" spans="1:12" ht="15.75" x14ac:dyDescent="0.25">
      <c r="A62" s="32"/>
      <c r="B62" s="9"/>
      <c r="C62" s="6"/>
      <c r="D62" s="9"/>
      <c r="E62" s="12"/>
      <c r="F62" s="15" t="s">
        <v>42</v>
      </c>
      <c r="G62" s="17" t="s">
        <v>24</v>
      </c>
      <c r="H62" s="15">
        <v>20.99</v>
      </c>
      <c r="I62" s="15">
        <v>360</v>
      </c>
      <c r="J62" s="15" t="s">
        <v>72</v>
      </c>
      <c r="K62" s="10">
        <f t="shared" si="0"/>
        <v>0.06</v>
      </c>
      <c r="L62" s="31" t="s">
        <v>33</v>
      </c>
    </row>
    <row r="63" spans="1:12" ht="15.75" x14ac:dyDescent="0.25">
      <c r="A63" s="27" t="s">
        <v>20</v>
      </c>
      <c r="B63" s="7"/>
      <c r="C63" s="4" t="s">
        <v>21</v>
      </c>
      <c r="D63" s="7"/>
      <c r="E63" s="13" t="s">
        <v>8</v>
      </c>
      <c r="F63" s="16" t="s">
        <v>31</v>
      </c>
      <c r="G63" s="13" t="s">
        <v>23</v>
      </c>
      <c r="H63" s="16" t="s">
        <v>31</v>
      </c>
      <c r="I63" s="16" t="s">
        <v>31</v>
      </c>
      <c r="J63" s="16" t="s">
        <v>31</v>
      </c>
      <c r="K63" s="16" t="s">
        <v>31</v>
      </c>
      <c r="L63" s="29" t="s">
        <v>32</v>
      </c>
    </row>
    <row r="64" spans="1:12" ht="15.75" x14ac:dyDescent="0.25">
      <c r="A64" s="2"/>
      <c r="B64" s="8"/>
      <c r="C64" s="5"/>
      <c r="D64" s="8"/>
      <c r="E64" s="11"/>
      <c r="F64" s="14" t="s">
        <v>31</v>
      </c>
      <c r="G64" s="11"/>
      <c r="H64" s="14" t="s">
        <v>31</v>
      </c>
      <c r="I64" s="14" t="s">
        <v>31</v>
      </c>
      <c r="J64" s="14" t="s">
        <v>31</v>
      </c>
      <c r="K64" s="14" t="s">
        <v>31</v>
      </c>
      <c r="L64" s="30" t="s">
        <v>32</v>
      </c>
    </row>
    <row r="65" spans="1:12" ht="15.75" x14ac:dyDescent="0.25">
      <c r="A65" s="2"/>
      <c r="B65" s="8"/>
      <c r="C65" s="5"/>
      <c r="D65" s="8"/>
      <c r="E65" s="11"/>
      <c r="F65" s="15" t="s">
        <v>77</v>
      </c>
      <c r="G65" s="12"/>
      <c r="H65" s="15">
        <v>54.49</v>
      </c>
      <c r="I65" s="15">
        <v>120</v>
      </c>
      <c r="J65" s="15" t="s">
        <v>78</v>
      </c>
      <c r="K65" s="15" t="s">
        <v>31</v>
      </c>
      <c r="L65" s="31" t="s">
        <v>32</v>
      </c>
    </row>
    <row r="66" spans="1:12" ht="15.75" x14ac:dyDescent="0.25">
      <c r="A66" s="2"/>
      <c r="B66" s="8"/>
      <c r="C66" s="5"/>
      <c r="D66" s="8"/>
      <c r="E66" s="12"/>
      <c r="F66" s="15" t="s">
        <v>73</v>
      </c>
      <c r="G66" s="17" t="s">
        <v>24</v>
      </c>
      <c r="H66" s="15">
        <v>20.99</v>
      </c>
      <c r="I66" s="15">
        <v>60</v>
      </c>
      <c r="J66" s="15" t="s">
        <v>78</v>
      </c>
      <c r="K66" s="15">
        <f t="shared" si="0"/>
        <v>0.35</v>
      </c>
      <c r="L66" s="31" t="s">
        <v>33</v>
      </c>
    </row>
    <row r="67" spans="1:12" ht="15.75" x14ac:dyDescent="0.25">
      <c r="A67" s="2"/>
      <c r="B67" s="8"/>
      <c r="C67" s="5"/>
      <c r="D67" s="8"/>
      <c r="E67" s="13" t="s">
        <v>9</v>
      </c>
      <c r="F67" s="16" t="s">
        <v>31</v>
      </c>
      <c r="G67" s="13" t="s">
        <v>23</v>
      </c>
      <c r="H67" s="16" t="s">
        <v>31</v>
      </c>
      <c r="I67" s="16" t="s">
        <v>31</v>
      </c>
      <c r="J67" s="16" t="s">
        <v>31</v>
      </c>
      <c r="K67" s="16" t="s">
        <v>31</v>
      </c>
      <c r="L67" s="29" t="s">
        <v>32</v>
      </c>
    </row>
    <row r="68" spans="1:12" ht="15.75" x14ac:dyDescent="0.25">
      <c r="A68" s="2"/>
      <c r="B68" s="8"/>
      <c r="C68" s="5"/>
      <c r="D68" s="8"/>
      <c r="E68" s="11"/>
      <c r="F68" s="14" t="s">
        <v>76</v>
      </c>
      <c r="G68" s="11"/>
      <c r="H68" s="14">
        <v>44.94</v>
      </c>
      <c r="I68" s="14">
        <v>180</v>
      </c>
      <c r="J68" s="14" t="s">
        <v>78</v>
      </c>
      <c r="K68" s="14">
        <f t="shared" ref="K67:K77" si="2">ROUND(H68/I68,2)</f>
        <v>0.25</v>
      </c>
      <c r="L68" s="30" t="s">
        <v>33</v>
      </c>
    </row>
    <row r="69" spans="1:12" ht="15.75" x14ac:dyDescent="0.25">
      <c r="A69" s="2"/>
      <c r="B69" s="8"/>
      <c r="C69" s="5"/>
      <c r="D69" s="8"/>
      <c r="E69" s="11"/>
      <c r="F69" s="15" t="s">
        <v>75</v>
      </c>
      <c r="G69" s="12"/>
      <c r="H69" s="15">
        <v>23.98</v>
      </c>
      <c r="I69" s="15">
        <v>120</v>
      </c>
      <c r="J69" s="15" t="s">
        <v>78</v>
      </c>
      <c r="K69" s="15">
        <f t="shared" si="2"/>
        <v>0.2</v>
      </c>
      <c r="L69" s="31" t="s">
        <v>33</v>
      </c>
    </row>
    <row r="70" spans="1:12" ht="15.75" x14ac:dyDescent="0.25">
      <c r="A70" s="2"/>
      <c r="B70" s="8"/>
      <c r="C70" s="5"/>
      <c r="D70" s="8"/>
      <c r="E70" s="12"/>
      <c r="F70" s="15" t="s">
        <v>74</v>
      </c>
      <c r="G70" s="17" t="s">
        <v>24</v>
      </c>
      <c r="H70" s="15">
        <v>14.98</v>
      </c>
      <c r="I70" s="15">
        <v>60</v>
      </c>
      <c r="J70" s="15" t="s">
        <v>78</v>
      </c>
      <c r="K70" s="15">
        <f t="shared" si="2"/>
        <v>0.25</v>
      </c>
      <c r="L70" s="31" t="s">
        <v>33</v>
      </c>
    </row>
    <row r="71" spans="1:12" ht="15.75" x14ac:dyDescent="0.25">
      <c r="A71" s="2"/>
      <c r="B71" s="8"/>
      <c r="C71" s="5"/>
      <c r="D71" s="8"/>
      <c r="E71" s="11" t="s">
        <v>11</v>
      </c>
      <c r="F71" s="16" t="s">
        <v>31</v>
      </c>
      <c r="G71" s="13" t="s">
        <v>23</v>
      </c>
      <c r="H71" s="16" t="s">
        <v>31</v>
      </c>
      <c r="I71" s="16" t="s">
        <v>31</v>
      </c>
      <c r="J71" s="16" t="s">
        <v>31</v>
      </c>
      <c r="K71" s="16" t="s">
        <v>31</v>
      </c>
      <c r="L71" s="29" t="s">
        <v>33</v>
      </c>
    </row>
    <row r="72" spans="1:12" ht="15.75" x14ac:dyDescent="0.25">
      <c r="A72" s="2"/>
      <c r="B72" s="8"/>
      <c r="C72" s="5"/>
      <c r="D72" s="8"/>
      <c r="E72" s="11"/>
      <c r="F72" s="14" t="s">
        <v>84</v>
      </c>
      <c r="G72" s="11"/>
      <c r="H72" s="14" t="s">
        <v>31</v>
      </c>
      <c r="I72" s="14" t="s">
        <v>31</v>
      </c>
      <c r="J72" s="14" t="s">
        <v>85</v>
      </c>
      <c r="K72" s="14" t="s">
        <v>31</v>
      </c>
      <c r="L72" s="30" t="s">
        <v>33</v>
      </c>
    </row>
    <row r="73" spans="1:12" ht="15.75" x14ac:dyDescent="0.25">
      <c r="A73" s="2"/>
      <c r="B73" s="8"/>
      <c r="C73" s="5"/>
      <c r="D73" s="8"/>
      <c r="E73" s="11"/>
      <c r="F73" s="15" t="s">
        <v>82</v>
      </c>
      <c r="G73" s="12"/>
      <c r="H73" s="15" t="s">
        <v>31</v>
      </c>
      <c r="I73" s="15" t="s">
        <v>31</v>
      </c>
      <c r="J73" s="15" t="s">
        <v>83</v>
      </c>
      <c r="K73" s="15" t="s">
        <v>31</v>
      </c>
      <c r="L73" s="31" t="s">
        <v>33</v>
      </c>
    </row>
    <row r="74" spans="1:12" ht="15.75" x14ac:dyDescent="0.25">
      <c r="A74" s="32"/>
      <c r="B74" s="9"/>
      <c r="C74" s="6"/>
      <c r="D74" s="9"/>
      <c r="E74" s="12"/>
      <c r="F74" s="15" t="s">
        <v>31</v>
      </c>
      <c r="G74" s="17" t="s">
        <v>24</v>
      </c>
      <c r="H74" s="15" t="s">
        <v>31</v>
      </c>
      <c r="I74" s="15" t="s">
        <v>31</v>
      </c>
      <c r="J74" s="15" t="s">
        <v>31</v>
      </c>
      <c r="K74" s="15" t="s">
        <v>31</v>
      </c>
      <c r="L74" s="31" t="s">
        <v>32</v>
      </c>
    </row>
    <row r="75" spans="1:12" ht="15.75" x14ac:dyDescent="0.25">
      <c r="A75" s="27" t="s">
        <v>22</v>
      </c>
      <c r="B75" s="7"/>
      <c r="C75" s="4" t="s">
        <v>30</v>
      </c>
      <c r="D75" s="7"/>
      <c r="E75" s="13" t="s">
        <v>8</v>
      </c>
      <c r="F75" s="16" t="s">
        <v>37</v>
      </c>
      <c r="G75" s="13" t="s">
        <v>23</v>
      </c>
      <c r="H75" s="16">
        <v>31.99</v>
      </c>
      <c r="I75" s="16">
        <v>70</v>
      </c>
      <c r="J75" s="16" t="s">
        <v>81</v>
      </c>
      <c r="K75" s="16">
        <f t="shared" si="2"/>
        <v>0.46</v>
      </c>
      <c r="L75" s="34" t="s">
        <v>33</v>
      </c>
    </row>
    <row r="76" spans="1:12" ht="15.75" x14ac:dyDescent="0.25">
      <c r="A76" s="2"/>
      <c r="B76" s="8"/>
      <c r="C76" s="5"/>
      <c r="D76" s="8"/>
      <c r="E76" s="11"/>
      <c r="F76" s="14" t="s">
        <v>36</v>
      </c>
      <c r="G76" s="11"/>
      <c r="H76" s="14">
        <v>19.489999999999998</v>
      </c>
      <c r="I76" s="14">
        <v>30</v>
      </c>
      <c r="J76" s="14" t="s">
        <v>81</v>
      </c>
      <c r="K76" s="14">
        <f t="shared" si="2"/>
        <v>0.65</v>
      </c>
      <c r="L76" s="35" t="s">
        <v>33</v>
      </c>
    </row>
    <row r="77" spans="1:12" ht="15.75" x14ac:dyDescent="0.25">
      <c r="A77" s="2"/>
      <c r="B77" s="8"/>
      <c r="C77" s="5"/>
      <c r="D77" s="8"/>
      <c r="E77" s="11"/>
      <c r="F77" s="15" t="s">
        <v>35</v>
      </c>
      <c r="G77" s="12"/>
      <c r="H77" s="15">
        <v>17.989999999999998</v>
      </c>
      <c r="I77" s="15">
        <v>30</v>
      </c>
      <c r="J77" s="15" t="s">
        <v>81</v>
      </c>
      <c r="K77" s="15">
        <f>ROUND(H77/I77,2)</f>
        <v>0.6</v>
      </c>
      <c r="L77" s="36" t="s">
        <v>33</v>
      </c>
    </row>
    <row r="78" spans="1:12" ht="15.75" x14ac:dyDescent="0.25">
      <c r="A78" s="2"/>
      <c r="B78" s="8"/>
      <c r="C78" s="5"/>
      <c r="D78" s="8"/>
      <c r="E78" s="12"/>
      <c r="F78" s="15" t="s">
        <v>34</v>
      </c>
      <c r="G78" s="17" t="s">
        <v>24</v>
      </c>
      <c r="H78" s="15">
        <v>45.99</v>
      </c>
      <c r="I78" s="15">
        <v>60</v>
      </c>
      <c r="J78" s="15" t="s">
        <v>81</v>
      </c>
      <c r="K78" s="15">
        <f>ROUND(H78/I78,2)</f>
        <v>0.77</v>
      </c>
      <c r="L78" s="37" t="s">
        <v>33</v>
      </c>
    </row>
    <row r="79" spans="1:12" ht="15.75" x14ac:dyDescent="0.25">
      <c r="A79" s="2"/>
      <c r="B79" s="8"/>
      <c r="C79" s="5"/>
      <c r="D79" s="8"/>
      <c r="E79" s="13" t="s">
        <v>9</v>
      </c>
      <c r="F79" s="16" t="s">
        <v>27</v>
      </c>
      <c r="G79" s="13" t="s">
        <v>23</v>
      </c>
      <c r="H79" s="16">
        <v>7.88</v>
      </c>
      <c r="I79" s="16">
        <v>45</v>
      </c>
      <c r="J79" s="16" t="s">
        <v>81</v>
      </c>
      <c r="K79" s="16">
        <f t="shared" ref="K79:K86" si="3">ROUND(H79/I79,2)</f>
        <v>0.18</v>
      </c>
      <c r="L79" s="30" t="s">
        <v>33</v>
      </c>
    </row>
    <row r="80" spans="1:12" ht="15.75" x14ac:dyDescent="0.25">
      <c r="A80" s="2"/>
      <c r="B80" s="8"/>
      <c r="C80" s="5"/>
      <c r="D80" s="8"/>
      <c r="E80" s="11"/>
      <c r="F80" s="14" t="s">
        <v>28</v>
      </c>
      <c r="G80" s="11"/>
      <c r="H80" s="14">
        <v>7.95</v>
      </c>
      <c r="I80" s="14">
        <v>150</v>
      </c>
      <c r="J80" s="14" t="s">
        <v>81</v>
      </c>
      <c r="K80" s="14">
        <f t="shared" si="3"/>
        <v>0.05</v>
      </c>
      <c r="L80" s="30" t="s">
        <v>33</v>
      </c>
    </row>
    <row r="81" spans="1:12" ht="15.75" x14ac:dyDescent="0.25">
      <c r="A81" s="2"/>
      <c r="B81" s="8"/>
      <c r="C81" s="5"/>
      <c r="D81" s="8"/>
      <c r="E81" s="11"/>
      <c r="F81" s="15" t="s">
        <v>29</v>
      </c>
      <c r="G81" s="12"/>
      <c r="H81" s="15">
        <v>8.99</v>
      </c>
      <c r="I81" s="15">
        <v>365</v>
      </c>
      <c r="J81" s="15" t="s">
        <v>81</v>
      </c>
      <c r="K81" s="15">
        <f t="shared" si="3"/>
        <v>0.02</v>
      </c>
      <c r="L81" s="31" t="s">
        <v>33</v>
      </c>
    </row>
    <row r="82" spans="1:12" ht="15.75" x14ac:dyDescent="0.25">
      <c r="A82" s="2"/>
      <c r="B82" s="8"/>
      <c r="C82" s="5"/>
      <c r="D82" s="8"/>
      <c r="E82" s="12"/>
      <c r="F82" s="15" t="s">
        <v>26</v>
      </c>
      <c r="G82" s="17" t="s">
        <v>24</v>
      </c>
      <c r="H82" s="15">
        <v>19.97</v>
      </c>
      <c r="I82" s="15">
        <v>30</v>
      </c>
      <c r="J82" s="15" t="s">
        <v>81</v>
      </c>
      <c r="K82" s="15">
        <f t="shared" si="3"/>
        <v>0.67</v>
      </c>
      <c r="L82" s="37" t="s">
        <v>33</v>
      </c>
    </row>
    <row r="83" spans="1:12" ht="15.75" x14ac:dyDescent="0.25">
      <c r="A83" s="2"/>
      <c r="B83" s="8"/>
      <c r="C83" s="5"/>
      <c r="D83" s="8"/>
      <c r="E83" s="11" t="s">
        <v>11</v>
      </c>
      <c r="F83" s="16" t="s">
        <v>31</v>
      </c>
      <c r="G83" s="13" t="s">
        <v>23</v>
      </c>
      <c r="H83" s="16" t="s">
        <v>31</v>
      </c>
      <c r="I83" s="16" t="s">
        <v>31</v>
      </c>
      <c r="J83" s="16" t="s">
        <v>31</v>
      </c>
      <c r="K83" s="16" t="s">
        <v>31</v>
      </c>
      <c r="L83" s="29" t="s">
        <v>32</v>
      </c>
    </row>
    <row r="84" spans="1:12" ht="15.75" x14ac:dyDescent="0.25">
      <c r="A84" s="2"/>
      <c r="B84" s="8"/>
      <c r="C84" s="5"/>
      <c r="D84" s="8"/>
      <c r="E84" s="11"/>
      <c r="F84" s="14" t="s">
        <v>31</v>
      </c>
      <c r="G84" s="11"/>
      <c r="H84" s="14" t="s">
        <v>31</v>
      </c>
      <c r="I84" s="14" t="s">
        <v>31</v>
      </c>
      <c r="J84" s="14" t="s">
        <v>31</v>
      </c>
      <c r="K84" s="14" t="s">
        <v>31</v>
      </c>
      <c r="L84" s="30" t="s">
        <v>32</v>
      </c>
    </row>
    <row r="85" spans="1:12" ht="15.75" x14ac:dyDescent="0.25">
      <c r="A85" s="2"/>
      <c r="B85" s="8"/>
      <c r="C85" s="5"/>
      <c r="D85" s="8"/>
      <c r="E85" s="11"/>
      <c r="F85" s="15" t="s">
        <v>86</v>
      </c>
      <c r="G85" s="12"/>
      <c r="H85" s="15">
        <v>12.99</v>
      </c>
      <c r="I85" s="15">
        <v>365</v>
      </c>
      <c r="J85" s="15" t="s">
        <v>81</v>
      </c>
      <c r="K85" s="15">
        <v>0.04</v>
      </c>
      <c r="L85" s="31" t="s">
        <v>33</v>
      </c>
    </row>
    <row r="86" spans="1:12" ht="16.5" thickBot="1" x14ac:dyDescent="0.3">
      <c r="A86" s="3"/>
      <c r="B86" s="38"/>
      <c r="C86" s="39"/>
      <c r="D86" s="38"/>
      <c r="E86" s="40"/>
      <c r="F86" s="41" t="s">
        <v>26</v>
      </c>
      <c r="G86" s="42" t="s">
        <v>24</v>
      </c>
      <c r="H86" s="41">
        <v>42.99</v>
      </c>
      <c r="I86" s="41">
        <v>115</v>
      </c>
      <c r="J86" s="41" t="s">
        <v>81</v>
      </c>
      <c r="K86" s="41">
        <f t="shared" si="3"/>
        <v>0.37</v>
      </c>
      <c r="L86" s="43" t="s">
        <v>33</v>
      </c>
    </row>
  </sheetData>
  <mergeCells count="59">
    <mergeCell ref="G75:G77"/>
    <mergeCell ref="G79:G81"/>
    <mergeCell ref="G83:G85"/>
    <mergeCell ref="A1:L1"/>
    <mergeCell ref="G51:G53"/>
    <mergeCell ref="G55:G57"/>
    <mergeCell ref="G59:G61"/>
    <mergeCell ref="G63:G65"/>
    <mergeCell ref="G67:G69"/>
    <mergeCell ref="G71:G73"/>
    <mergeCell ref="G27:G29"/>
    <mergeCell ref="G31:G33"/>
    <mergeCell ref="G35:G37"/>
    <mergeCell ref="G39:G41"/>
    <mergeCell ref="G43:G45"/>
    <mergeCell ref="G47:G49"/>
    <mergeCell ref="E83:E86"/>
    <mergeCell ref="G3:G5"/>
    <mergeCell ref="G7:G9"/>
    <mergeCell ref="G11:G13"/>
    <mergeCell ref="G15:G17"/>
    <mergeCell ref="G19:G21"/>
    <mergeCell ref="G23:G25"/>
    <mergeCell ref="A75:B86"/>
    <mergeCell ref="C75:D86"/>
    <mergeCell ref="E75:E78"/>
    <mergeCell ref="E79:E82"/>
    <mergeCell ref="A63:B74"/>
    <mergeCell ref="C63:D74"/>
    <mergeCell ref="E63:E66"/>
    <mergeCell ref="E67:E70"/>
    <mergeCell ref="E71:E74"/>
    <mergeCell ref="A51:B62"/>
    <mergeCell ref="C51:D62"/>
    <mergeCell ref="E51:E54"/>
    <mergeCell ref="E55:E58"/>
    <mergeCell ref="E59:E62"/>
    <mergeCell ref="E43:E46"/>
    <mergeCell ref="E47:E50"/>
    <mergeCell ref="E35:E38"/>
    <mergeCell ref="A39:B50"/>
    <mergeCell ref="C39:D50"/>
    <mergeCell ref="E39:E42"/>
    <mergeCell ref="E23:E26"/>
    <mergeCell ref="A27:B38"/>
    <mergeCell ref="C27:D38"/>
    <mergeCell ref="E27:E30"/>
    <mergeCell ref="E31:E34"/>
    <mergeCell ref="E11:E14"/>
    <mergeCell ref="A15:B26"/>
    <mergeCell ref="C15:D26"/>
    <mergeCell ref="E15:E18"/>
    <mergeCell ref="E19:E22"/>
    <mergeCell ref="A2:B2"/>
    <mergeCell ref="C2:D2"/>
    <mergeCell ref="A3:B14"/>
    <mergeCell ref="C3:D14"/>
    <mergeCell ref="E3:E6"/>
    <mergeCell ref="E7:E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72AEA9CBB085449EE1A90F63F18372" ma:contentTypeVersion="9" ma:contentTypeDescription="Create a new document." ma:contentTypeScope="" ma:versionID="7204bd9a80b3ac0e659cbb12e1b264f7">
  <xsd:schema xmlns:xsd="http://www.w3.org/2001/XMLSchema" xmlns:xs="http://www.w3.org/2001/XMLSchema" xmlns:p="http://schemas.microsoft.com/office/2006/metadata/properties" xmlns:ns3="ab6ba3ef-0d4d-478d-ad12-9d18f1bac445" targetNamespace="http://schemas.microsoft.com/office/2006/metadata/properties" ma:root="true" ma:fieldsID="d688da1ced36477de64ca99ce5359ba6" ns3:_="">
    <xsd:import namespace="ab6ba3ef-0d4d-478d-ad12-9d18f1bac44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ba3ef-0d4d-478d-ad12-9d18f1bac44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6ba3ef-0d4d-478d-ad12-9d18f1bac445" xsi:nil="true"/>
  </documentManagement>
</p:properties>
</file>

<file path=customXml/itemProps1.xml><?xml version="1.0" encoding="utf-8"?>
<ds:datastoreItem xmlns:ds="http://schemas.openxmlformats.org/officeDocument/2006/customXml" ds:itemID="{7E624A44-4DFD-4DB6-83E7-64AF5963E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6ba3ef-0d4d-478d-ad12-9d18f1bac4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23871A-C3FA-4D89-B2C3-BC5F32BAFE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3AA765-F2CC-4575-BA79-468F7A0ACB35}">
  <ds:schemaRefs>
    <ds:schemaRef ds:uri="http://schemas.microsoft.com/office/infopath/2007/PartnerControls"/>
    <ds:schemaRef ds:uri="http://purl.org/dc/elements/1.1/"/>
    <ds:schemaRef ds:uri="ab6ba3ef-0d4d-478d-ad12-9d18f1bac445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Zacharia Nhgula Maselle</dc:creator>
  <cp:lastModifiedBy>Wilson Zacharia Nhgula Maselle</cp:lastModifiedBy>
  <dcterms:created xsi:type="dcterms:W3CDTF">2026-06-21T02:21:02Z</dcterms:created>
  <dcterms:modified xsi:type="dcterms:W3CDTF">2026-06-23T21:57:20Z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0x0101002772AEA9CBB085449EE1A90F63F18372</vt:lpwstr>
  </property>
</Properties>
</file>